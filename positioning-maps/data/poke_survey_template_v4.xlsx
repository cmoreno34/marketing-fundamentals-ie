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cesar_moreno_ufv_es/Documents/8.- ie marketing fundamentals/new course_ie/MF26_course_build/4_DATASETS/positioning/"/>
    </mc:Choice>
  </mc:AlternateContent>
  <xr:revisionPtr revIDLastSave="0" documentId="11_240708E6C1FBAB5225C2A3544875058AF364CDBD" xr6:coauthVersionLast="47" xr6:coauthVersionMax="47" xr10:uidLastSave="{00000000-0000-0000-0000-000000000000}"/>
  <bookViews>
    <workbookView xWindow="4212" yWindow="3360" windowWidth="17280" windowHeight="8880" activeTab="1" xr2:uid="{00000000-000D-0000-FFFF-FFFF00000000}"/>
  </bookViews>
  <sheets>
    <sheet name="DATA" sheetId="1" r:id="rId1"/>
    <sheet name="data to 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H8" i="2" s="1"/>
  <c r="I70" i="1"/>
  <c r="G8" i="2" s="1"/>
  <c r="H70" i="1"/>
  <c r="F8" i="2" s="1"/>
  <c r="G70" i="1"/>
  <c r="E8" i="2" s="1"/>
  <c r="F70" i="1"/>
  <c r="D8" i="2" s="1"/>
  <c r="E70" i="1"/>
  <c r="C8" i="2" s="1"/>
  <c r="D70" i="1"/>
  <c r="B8" i="2" s="1"/>
  <c r="J69" i="1"/>
  <c r="H7" i="2" s="1"/>
  <c r="I69" i="1"/>
  <c r="G7" i="2" s="1"/>
  <c r="H69" i="1"/>
  <c r="F7" i="2" s="1"/>
  <c r="G69" i="1"/>
  <c r="E7" i="2" s="1"/>
  <c r="F69" i="1"/>
  <c r="D7" i="2" s="1"/>
  <c r="E69" i="1"/>
  <c r="C7" i="2" s="1"/>
  <c r="D69" i="1"/>
  <c r="B7" i="2" s="1"/>
  <c r="J68" i="1"/>
  <c r="H6" i="2" s="1"/>
  <c r="I68" i="1"/>
  <c r="G6" i="2" s="1"/>
  <c r="H68" i="1"/>
  <c r="F6" i="2" s="1"/>
  <c r="G68" i="1"/>
  <c r="E6" i="2" s="1"/>
  <c r="F68" i="1"/>
  <c r="D6" i="2" s="1"/>
  <c r="E68" i="1"/>
  <c r="C6" i="2" s="1"/>
  <c r="D68" i="1"/>
  <c r="B6" i="2" s="1"/>
  <c r="J67" i="1"/>
  <c r="H5" i="2" s="1"/>
  <c r="I67" i="1"/>
  <c r="G5" i="2" s="1"/>
  <c r="H67" i="1"/>
  <c r="F5" i="2" s="1"/>
  <c r="G67" i="1"/>
  <c r="E5" i="2" s="1"/>
  <c r="F67" i="1"/>
  <c r="D5" i="2" s="1"/>
  <c r="E67" i="1"/>
  <c r="C5" i="2" s="1"/>
  <c r="D67" i="1"/>
  <c r="B5" i="2" s="1"/>
  <c r="J66" i="1"/>
  <c r="H4" i="2" s="1"/>
  <c r="I66" i="1"/>
  <c r="G4" i="2" s="1"/>
  <c r="H66" i="1"/>
  <c r="F4" i="2" s="1"/>
  <c r="G66" i="1"/>
  <c r="E4" i="2" s="1"/>
  <c r="F66" i="1"/>
  <c r="D4" i="2" s="1"/>
  <c r="E66" i="1"/>
  <c r="C4" i="2" s="1"/>
  <c r="D66" i="1"/>
  <c r="B4" i="2" s="1"/>
  <c r="J65" i="1"/>
  <c r="H3" i="2" s="1"/>
  <c r="I65" i="1"/>
  <c r="G3" i="2" s="1"/>
  <c r="H65" i="1"/>
  <c r="F3" i="2" s="1"/>
  <c r="G65" i="1"/>
  <c r="E3" i="2" s="1"/>
  <c r="F65" i="1"/>
  <c r="D3" i="2" s="1"/>
  <c r="E65" i="1"/>
  <c r="C3" i="2" s="1"/>
  <c r="D65" i="1"/>
  <c r="B3" i="2" s="1"/>
  <c r="J64" i="1"/>
  <c r="H2" i="2" s="1"/>
  <c r="I64" i="1"/>
  <c r="G2" i="2" s="1"/>
  <c r="H64" i="1"/>
  <c r="F2" i="2" s="1"/>
  <c r="G64" i="1"/>
  <c r="E2" i="2" s="1"/>
  <c r="F64" i="1"/>
  <c r="D2" i="2" s="1"/>
  <c r="E64" i="1"/>
  <c r="C2" i="2" s="1"/>
  <c r="D64" i="1"/>
  <c r="B2" i="2" s="1"/>
  <c r="C20" i="1"/>
  <c r="C30" i="1" s="1"/>
  <c r="C40" i="1" s="1"/>
  <c r="C50" i="1" s="1"/>
  <c r="C60" i="1" s="1"/>
  <c r="C70" i="1" s="1"/>
  <c r="B20" i="1"/>
  <c r="B30" i="1" s="1"/>
  <c r="B40" i="1" s="1"/>
  <c r="B50" i="1" s="1"/>
  <c r="B60" i="1" s="1"/>
  <c r="B70" i="1" s="1"/>
  <c r="C19" i="1"/>
  <c r="C29" i="1" s="1"/>
  <c r="C39" i="1" s="1"/>
  <c r="C49" i="1" s="1"/>
  <c r="C59" i="1" s="1"/>
  <c r="C69" i="1" s="1"/>
  <c r="B19" i="1"/>
  <c r="B29" i="1" s="1"/>
  <c r="B39" i="1" s="1"/>
  <c r="B49" i="1" s="1"/>
  <c r="B59" i="1" s="1"/>
  <c r="B69" i="1" s="1"/>
  <c r="C18" i="1"/>
  <c r="C28" i="1" s="1"/>
  <c r="C38" i="1" s="1"/>
  <c r="C48" i="1" s="1"/>
  <c r="C58" i="1" s="1"/>
  <c r="C68" i="1" s="1"/>
  <c r="B18" i="1"/>
  <c r="B28" i="1" s="1"/>
  <c r="B38" i="1" s="1"/>
  <c r="B48" i="1" s="1"/>
  <c r="B58" i="1" s="1"/>
  <c r="B68" i="1" s="1"/>
  <c r="C17" i="1"/>
  <c r="C27" i="1" s="1"/>
  <c r="C37" i="1" s="1"/>
  <c r="C47" i="1" s="1"/>
  <c r="C57" i="1" s="1"/>
  <c r="C67" i="1" s="1"/>
  <c r="B17" i="1"/>
  <c r="B27" i="1" s="1"/>
  <c r="B37" i="1" s="1"/>
  <c r="B47" i="1" s="1"/>
  <c r="B57" i="1" s="1"/>
  <c r="B67" i="1" s="1"/>
  <c r="C16" i="1"/>
  <c r="C26" i="1" s="1"/>
  <c r="C36" i="1" s="1"/>
  <c r="C46" i="1" s="1"/>
  <c r="C56" i="1" s="1"/>
  <c r="C66" i="1" s="1"/>
  <c r="B16" i="1"/>
  <c r="B26" i="1" s="1"/>
  <c r="B36" i="1" s="1"/>
  <c r="B46" i="1" s="1"/>
  <c r="B56" i="1" s="1"/>
  <c r="B66" i="1" s="1"/>
  <c r="C15" i="1"/>
  <c r="C25" i="1" s="1"/>
  <c r="C35" i="1" s="1"/>
  <c r="C45" i="1" s="1"/>
  <c r="C55" i="1" s="1"/>
  <c r="C65" i="1" s="1"/>
  <c r="B15" i="1"/>
  <c r="B25" i="1" s="1"/>
  <c r="B35" i="1" s="1"/>
  <c r="B45" i="1" s="1"/>
  <c r="B55" i="1" s="1"/>
  <c r="B65" i="1" s="1"/>
  <c r="C14" i="1"/>
  <c r="C24" i="1" s="1"/>
  <c r="C34" i="1" s="1"/>
  <c r="C44" i="1" s="1"/>
  <c r="C54" i="1" s="1"/>
  <c r="C64" i="1" s="1"/>
  <c r="B14" i="1"/>
  <c r="B24" i="1" s="1"/>
  <c r="B34" i="1" s="1"/>
  <c r="B44" i="1" s="1"/>
  <c r="B54" i="1" s="1"/>
  <c r="B64" i="1" s="1"/>
  <c r="C12" i="1"/>
  <c r="C22" i="1" s="1"/>
  <c r="C32" i="1" s="1"/>
  <c r="C42" i="1" s="1"/>
  <c r="C52" i="1" s="1"/>
  <c r="B12" i="1"/>
  <c r="B22" i="1" s="1"/>
  <c r="B32" i="1" s="1"/>
  <c r="B42" i="1" s="1"/>
  <c r="B52" i="1" s="1"/>
  <c r="B62" i="1" s="1"/>
</calcChain>
</file>

<file path=xl/sharedStrings.xml><?xml version="1.0" encoding="utf-8"?>
<sst xmlns="http://schemas.openxmlformats.org/spreadsheetml/2006/main" count="83" uniqueCount="34">
  <si>
    <t>Pizza Hut</t>
  </si>
  <si>
    <t>McDonald's</t>
  </si>
  <si>
    <t>Burger King</t>
  </si>
  <si>
    <t>KFC</t>
  </si>
  <si>
    <t>Dunkin'</t>
  </si>
  <si>
    <t>Starbucks</t>
  </si>
  <si>
    <t>Poke bowl</t>
  </si>
  <si>
    <t>Menu variety</t>
  </si>
  <si>
    <t>Number of outlets</t>
  </si>
  <si>
    <t>Healthiness</t>
  </si>
  <si>
    <t>Fun / entertainment</t>
  </si>
  <si>
    <t>Occasional vs daily</t>
  </si>
  <si>
    <t>Price level</t>
  </si>
  <si>
    <t>Perceived value</t>
  </si>
  <si>
    <t>Upload this workbook to the Positioning Maps tool as it is: the tool reads this sheet. No copying needed.</t>
  </si>
  <si>
    <t>Each persona is one person you interview. Score every brand from 1 to 5 on each scale: 1 = the description on the left, 5 = the description on the right.</t>
  </si>
  <si>
    <t xml:space="preserve">persona </t>
  </si>
  <si>
    <t>Limited menu</t>
  </si>
  <si>
    <t>Menu with wide variety of combinations</t>
  </si>
  <si>
    <t>Few points of sale</t>
  </si>
  <si>
    <t>Many outlets</t>
  </si>
  <si>
    <t>Unhealthy food</t>
  </si>
  <si>
    <t>Very healthy food</t>
  </si>
  <si>
    <t>Conventional food</t>
  </si>
  <si>
    <t>Very entertaining/fun food</t>
  </si>
  <si>
    <t>Occasional meal</t>
  </si>
  <si>
    <t>Daily meal</t>
  </si>
  <si>
    <t>Low price</t>
  </si>
  <si>
    <t>High price</t>
  </si>
  <si>
    <t>Low total perceived value</t>
  </si>
  <si>
    <t>High total perceived value</t>
  </si>
  <si>
    <t>mean</t>
  </si>
  <si>
    <t>Do not delete this table: it averages the personas you have entered.</t>
  </si>
  <si>
    <t>The averages feed the sheet "data to import", which is the one the tool reads.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</si>
</sst>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J71"/>
  <sheetViews>
    <sheetView showGridLines="0" topLeftCell="A52" workbookViewId="0">
      <selection activeCell="F76" sqref="F76"/>
    </sheetView>
  </sheetViews>
  <sheetFormatPr baseColWidth="10" defaultColWidth="8.88671875" defaultRowHeight="14.4" x14ac:dyDescent="0.3"/>
  <cols>
    <col min="2" max="2" width="20.44140625" customWidth="1"/>
    <col min="3" max="3" width="40.5546875" bestFit="1" customWidth="1"/>
    <col min="4" max="10" width="14.109375" style="1" customWidth="1"/>
  </cols>
  <sheetData>
    <row r="1" spans="2:10" x14ac:dyDescent="0.3">
      <c r="B1" s="5" t="s">
        <v>15</v>
      </c>
      <c r="C1" s="5"/>
    </row>
    <row r="2" spans="2:10" x14ac:dyDescent="0.3">
      <c r="B2" s="4" t="s">
        <v>16</v>
      </c>
      <c r="C2" s="4">
        <v>1</v>
      </c>
    </row>
    <row r="3" spans="2:10" x14ac:dyDescent="0.3">
      <c r="B3" s="3">
        <v>1</v>
      </c>
      <c r="C3" s="3">
        <v>5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</row>
    <row r="4" spans="2:10" x14ac:dyDescent="0.3">
      <c r="B4" s="3" t="s">
        <v>17</v>
      </c>
      <c r="C4" s="3" t="s">
        <v>18</v>
      </c>
      <c r="D4" s="7"/>
      <c r="E4" s="7"/>
      <c r="F4" s="7"/>
      <c r="G4" s="7"/>
      <c r="H4" s="7"/>
      <c r="I4" s="7"/>
      <c r="J4" s="7"/>
    </row>
    <row r="5" spans="2:10" x14ac:dyDescent="0.3">
      <c r="B5" s="3" t="s">
        <v>19</v>
      </c>
      <c r="C5" s="3" t="s">
        <v>20</v>
      </c>
      <c r="D5" s="7"/>
      <c r="E5" s="7"/>
      <c r="F5" s="7"/>
      <c r="G5" s="7"/>
      <c r="H5" s="7"/>
      <c r="I5" s="7"/>
      <c r="J5" s="7"/>
    </row>
    <row r="6" spans="2:10" x14ac:dyDescent="0.3">
      <c r="B6" s="3" t="s">
        <v>21</v>
      </c>
      <c r="C6" s="3" t="s">
        <v>22</v>
      </c>
      <c r="D6" s="7"/>
      <c r="E6" s="7"/>
      <c r="F6" s="7"/>
      <c r="G6" s="7"/>
      <c r="H6" s="7"/>
      <c r="I6" s="7"/>
      <c r="J6" s="7"/>
    </row>
    <row r="7" spans="2:10" x14ac:dyDescent="0.3">
      <c r="B7" s="3" t="s">
        <v>23</v>
      </c>
      <c r="C7" s="3" t="s">
        <v>24</v>
      </c>
      <c r="D7" s="7"/>
      <c r="E7" s="7"/>
      <c r="F7" s="7"/>
      <c r="G7" s="7"/>
      <c r="H7" s="7"/>
      <c r="I7" s="7"/>
      <c r="J7" s="7"/>
    </row>
    <row r="8" spans="2:10" x14ac:dyDescent="0.3">
      <c r="B8" s="3" t="s">
        <v>25</v>
      </c>
      <c r="C8" s="3" t="s">
        <v>26</v>
      </c>
      <c r="D8" s="7"/>
      <c r="E8" s="7"/>
      <c r="F8" s="7"/>
      <c r="G8" s="7"/>
      <c r="H8" s="7"/>
      <c r="I8" s="7"/>
      <c r="J8" s="7"/>
    </row>
    <row r="9" spans="2:10" x14ac:dyDescent="0.3">
      <c r="B9" s="3" t="s">
        <v>27</v>
      </c>
      <c r="C9" s="3" t="s">
        <v>28</v>
      </c>
      <c r="D9" s="7"/>
      <c r="E9" s="7"/>
      <c r="F9" s="7"/>
      <c r="G9" s="7"/>
      <c r="H9" s="7"/>
      <c r="I9" s="7"/>
      <c r="J9" s="7"/>
    </row>
    <row r="10" spans="2:10" x14ac:dyDescent="0.3">
      <c r="B10" s="3" t="s">
        <v>29</v>
      </c>
      <c r="C10" s="3" t="s">
        <v>30</v>
      </c>
      <c r="D10" s="7"/>
      <c r="E10" s="7"/>
      <c r="F10" s="7"/>
      <c r="G10" s="7"/>
      <c r="H10" s="7"/>
      <c r="I10" s="7"/>
      <c r="J10" s="7"/>
    </row>
    <row r="12" spans="2:10" x14ac:dyDescent="0.3">
      <c r="B12" s="4" t="str">
        <f>B2</f>
        <v xml:space="preserve">persona </v>
      </c>
      <c r="C12" s="4">
        <f>C2+1</f>
        <v>2</v>
      </c>
    </row>
    <row r="13" spans="2:10" x14ac:dyDescent="0.3">
      <c r="B13" s="3">
        <v>1</v>
      </c>
      <c r="C13" s="3">
        <v>5</v>
      </c>
      <c r="D13" s="2" t="s">
        <v>0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 t="s">
        <v>6</v>
      </c>
    </row>
    <row r="14" spans="2:10" x14ac:dyDescent="0.3">
      <c r="B14" s="3" t="str">
        <f t="shared" ref="B14:C20" si="0">B4</f>
        <v>Limited menu</v>
      </c>
      <c r="C14" s="3" t="str">
        <f t="shared" si="0"/>
        <v>Menu with wide variety of combinations</v>
      </c>
      <c r="D14" s="7"/>
      <c r="E14" s="7"/>
      <c r="F14" s="7"/>
      <c r="G14" s="7"/>
      <c r="H14" s="7"/>
      <c r="I14" s="7"/>
      <c r="J14" s="7"/>
    </row>
    <row r="15" spans="2:10" x14ac:dyDescent="0.3">
      <c r="B15" s="3" t="str">
        <f t="shared" si="0"/>
        <v>Few points of sale</v>
      </c>
      <c r="C15" s="3" t="str">
        <f t="shared" si="0"/>
        <v>Many outlets</v>
      </c>
      <c r="D15" s="7"/>
      <c r="E15" s="7"/>
      <c r="F15" s="7"/>
      <c r="G15" s="7"/>
      <c r="H15" s="7"/>
      <c r="I15" s="7"/>
      <c r="J15" s="7"/>
    </row>
    <row r="16" spans="2:10" x14ac:dyDescent="0.3">
      <c r="B16" s="3" t="str">
        <f t="shared" si="0"/>
        <v>Unhealthy food</v>
      </c>
      <c r="C16" s="3" t="str">
        <f t="shared" si="0"/>
        <v>Very healthy food</v>
      </c>
      <c r="D16" s="7"/>
      <c r="E16" s="7"/>
      <c r="F16" s="7"/>
      <c r="G16" s="7"/>
      <c r="H16" s="7"/>
      <c r="I16" s="7"/>
      <c r="J16" s="7"/>
    </row>
    <row r="17" spans="2:10" x14ac:dyDescent="0.3">
      <c r="B17" s="3" t="str">
        <f t="shared" si="0"/>
        <v>Conventional food</v>
      </c>
      <c r="C17" s="3" t="str">
        <f t="shared" si="0"/>
        <v>Very entertaining/fun food</v>
      </c>
      <c r="D17" s="7"/>
      <c r="E17" s="7"/>
      <c r="F17" s="7"/>
      <c r="G17" s="7"/>
      <c r="H17" s="7"/>
      <c r="I17" s="7"/>
      <c r="J17" s="7"/>
    </row>
    <row r="18" spans="2:10" x14ac:dyDescent="0.3">
      <c r="B18" s="3" t="str">
        <f t="shared" si="0"/>
        <v>Occasional meal</v>
      </c>
      <c r="C18" s="3" t="str">
        <f t="shared" si="0"/>
        <v>Daily meal</v>
      </c>
      <c r="D18" s="7"/>
      <c r="E18" s="7"/>
      <c r="F18" s="7"/>
      <c r="G18" s="7"/>
      <c r="H18" s="7"/>
      <c r="I18" s="7"/>
      <c r="J18" s="7"/>
    </row>
    <row r="19" spans="2:10" x14ac:dyDescent="0.3">
      <c r="B19" s="3" t="str">
        <f t="shared" si="0"/>
        <v>Low price</v>
      </c>
      <c r="C19" s="3" t="str">
        <f t="shared" si="0"/>
        <v>High price</v>
      </c>
      <c r="D19" s="7"/>
      <c r="E19" s="7"/>
      <c r="F19" s="7"/>
      <c r="G19" s="7"/>
      <c r="H19" s="7"/>
      <c r="I19" s="7"/>
      <c r="J19" s="7"/>
    </row>
    <row r="20" spans="2:10" x14ac:dyDescent="0.3">
      <c r="B20" s="3" t="str">
        <f t="shared" si="0"/>
        <v>Low total perceived value</v>
      </c>
      <c r="C20" s="3" t="str">
        <f t="shared" si="0"/>
        <v>High total perceived value</v>
      </c>
      <c r="D20" s="7"/>
      <c r="E20" s="7"/>
      <c r="F20" s="7"/>
      <c r="G20" s="7"/>
      <c r="H20" s="7"/>
      <c r="I20" s="7"/>
      <c r="J20" s="7"/>
    </row>
    <row r="22" spans="2:10" x14ac:dyDescent="0.3">
      <c r="B22" s="4" t="str">
        <f>B12</f>
        <v xml:space="preserve">persona </v>
      </c>
      <c r="C22" s="4">
        <f>C12+1</f>
        <v>3</v>
      </c>
    </row>
    <row r="23" spans="2:10" x14ac:dyDescent="0.3">
      <c r="B23" s="3">
        <v>1</v>
      </c>
      <c r="C23" s="3">
        <v>5</v>
      </c>
      <c r="D23" s="2" t="s">
        <v>0</v>
      </c>
      <c r="E23" s="2" t="s">
        <v>1</v>
      </c>
      <c r="F23" s="2" t="s">
        <v>2</v>
      </c>
      <c r="G23" s="2" t="s">
        <v>3</v>
      </c>
      <c r="H23" s="2" t="s">
        <v>4</v>
      </c>
      <c r="I23" s="2" t="s">
        <v>5</v>
      </c>
      <c r="J23" s="2" t="s">
        <v>6</v>
      </c>
    </row>
    <row r="24" spans="2:10" x14ac:dyDescent="0.3">
      <c r="B24" s="3" t="str">
        <f t="shared" ref="B24:C30" si="1">B14</f>
        <v>Limited menu</v>
      </c>
      <c r="C24" s="3" t="str">
        <f t="shared" si="1"/>
        <v>Menu with wide variety of combinations</v>
      </c>
      <c r="D24" s="7"/>
      <c r="E24" s="7"/>
      <c r="F24" s="7"/>
      <c r="G24" s="7"/>
      <c r="H24" s="7"/>
      <c r="I24" s="7"/>
      <c r="J24" s="7"/>
    </row>
    <row r="25" spans="2:10" x14ac:dyDescent="0.3">
      <c r="B25" s="3" t="str">
        <f t="shared" si="1"/>
        <v>Few points of sale</v>
      </c>
      <c r="C25" s="3" t="str">
        <f t="shared" si="1"/>
        <v>Many outlets</v>
      </c>
      <c r="D25" s="7"/>
      <c r="E25" s="7"/>
      <c r="F25" s="7"/>
      <c r="G25" s="7"/>
      <c r="H25" s="7"/>
      <c r="I25" s="7"/>
      <c r="J25" s="7"/>
    </row>
    <row r="26" spans="2:10" x14ac:dyDescent="0.3">
      <c r="B26" s="3" t="str">
        <f t="shared" si="1"/>
        <v>Unhealthy food</v>
      </c>
      <c r="C26" s="3" t="str">
        <f t="shared" si="1"/>
        <v>Very healthy food</v>
      </c>
      <c r="D26" s="7"/>
      <c r="E26" s="7"/>
      <c r="F26" s="7"/>
      <c r="G26" s="7"/>
      <c r="H26" s="7"/>
      <c r="I26" s="7"/>
      <c r="J26" s="7"/>
    </row>
    <row r="27" spans="2:10" x14ac:dyDescent="0.3">
      <c r="B27" s="3" t="str">
        <f t="shared" si="1"/>
        <v>Conventional food</v>
      </c>
      <c r="C27" s="3" t="str">
        <f t="shared" si="1"/>
        <v>Very entertaining/fun food</v>
      </c>
      <c r="D27" s="7"/>
      <c r="E27" s="7"/>
      <c r="F27" s="7"/>
      <c r="G27" s="7"/>
      <c r="H27" s="7"/>
      <c r="I27" s="7"/>
      <c r="J27" s="7"/>
    </row>
    <row r="28" spans="2:10" x14ac:dyDescent="0.3">
      <c r="B28" s="3" t="str">
        <f t="shared" si="1"/>
        <v>Occasional meal</v>
      </c>
      <c r="C28" s="3" t="str">
        <f t="shared" si="1"/>
        <v>Daily meal</v>
      </c>
      <c r="D28" s="7"/>
      <c r="E28" s="7"/>
      <c r="F28" s="7"/>
      <c r="G28" s="7"/>
      <c r="H28" s="7"/>
      <c r="I28" s="7"/>
      <c r="J28" s="7"/>
    </row>
    <row r="29" spans="2:10" x14ac:dyDescent="0.3">
      <c r="B29" s="3" t="str">
        <f t="shared" si="1"/>
        <v>Low price</v>
      </c>
      <c r="C29" s="3" t="str">
        <f t="shared" si="1"/>
        <v>High price</v>
      </c>
      <c r="D29" s="7"/>
      <c r="E29" s="7"/>
      <c r="F29" s="7"/>
      <c r="G29" s="7"/>
      <c r="H29" s="7"/>
      <c r="I29" s="7"/>
      <c r="J29" s="7"/>
    </row>
    <row r="30" spans="2:10" x14ac:dyDescent="0.3">
      <c r="B30" s="3" t="str">
        <f t="shared" si="1"/>
        <v>Low total perceived value</v>
      </c>
      <c r="C30" s="3" t="str">
        <f t="shared" si="1"/>
        <v>High total perceived value</v>
      </c>
      <c r="D30" s="7"/>
      <c r="E30" s="7"/>
      <c r="F30" s="7"/>
      <c r="G30" s="7"/>
      <c r="H30" s="7"/>
      <c r="I30" s="7"/>
      <c r="J30" s="7"/>
    </row>
    <row r="32" spans="2:10" x14ac:dyDescent="0.3">
      <c r="B32" s="4" t="str">
        <f>B22</f>
        <v xml:space="preserve">persona </v>
      </c>
      <c r="C32" s="4">
        <f>C22+1</f>
        <v>4</v>
      </c>
    </row>
    <row r="33" spans="2:10" x14ac:dyDescent="0.3">
      <c r="B33" s="3">
        <v>1</v>
      </c>
      <c r="C33" s="3">
        <v>5</v>
      </c>
      <c r="D33" s="2" t="s">
        <v>0</v>
      </c>
      <c r="E33" s="2" t="s">
        <v>1</v>
      </c>
      <c r="F33" s="2" t="s">
        <v>2</v>
      </c>
      <c r="G33" s="2" t="s">
        <v>3</v>
      </c>
      <c r="H33" s="2" t="s">
        <v>4</v>
      </c>
      <c r="I33" s="2" t="s">
        <v>5</v>
      </c>
      <c r="J33" s="2" t="s">
        <v>6</v>
      </c>
    </row>
    <row r="34" spans="2:10" x14ac:dyDescent="0.3">
      <c r="B34" s="3" t="str">
        <f t="shared" ref="B34:C40" si="2">B24</f>
        <v>Limited menu</v>
      </c>
      <c r="C34" s="3" t="str">
        <f t="shared" si="2"/>
        <v>Menu with wide variety of combinations</v>
      </c>
      <c r="D34" s="7"/>
      <c r="E34" s="7"/>
      <c r="F34" s="7"/>
      <c r="G34" s="7"/>
      <c r="H34" s="7"/>
      <c r="I34" s="7"/>
      <c r="J34" s="7"/>
    </row>
    <row r="35" spans="2:10" x14ac:dyDescent="0.3">
      <c r="B35" s="3" t="str">
        <f t="shared" si="2"/>
        <v>Few points of sale</v>
      </c>
      <c r="C35" s="3" t="str">
        <f t="shared" si="2"/>
        <v>Many outlets</v>
      </c>
      <c r="D35" s="7"/>
      <c r="E35" s="7"/>
      <c r="F35" s="7"/>
      <c r="G35" s="7"/>
      <c r="H35" s="7"/>
      <c r="I35" s="7"/>
      <c r="J35" s="7"/>
    </row>
    <row r="36" spans="2:10" x14ac:dyDescent="0.3">
      <c r="B36" s="3" t="str">
        <f t="shared" si="2"/>
        <v>Unhealthy food</v>
      </c>
      <c r="C36" s="3" t="str">
        <f t="shared" si="2"/>
        <v>Very healthy food</v>
      </c>
      <c r="D36" s="7"/>
      <c r="E36" s="7"/>
      <c r="F36" s="7"/>
      <c r="G36" s="7"/>
      <c r="H36" s="7"/>
      <c r="I36" s="7"/>
      <c r="J36" s="7"/>
    </row>
    <row r="37" spans="2:10" x14ac:dyDescent="0.3">
      <c r="B37" s="3" t="str">
        <f t="shared" si="2"/>
        <v>Conventional food</v>
      </c>
      <c r="C37" s="3" t="str">
        <f t="shared" si="2"/>
        <v>Very entertaining/fun food</v>
      </c>
      <c r="D37" s="7"/>
      <c r="E37" s="7"/>
      <c r="F37" s="7"/>
      <c r="G37" s="7"/>
      <c r="H37" s="7"/>
      <c r="I37" s="7"/>
      <c r="J37" s="7"/>
    </row>
    <row r="38" spans="2:10" x14ac:dyDescent="0.3">
      <c r="B38" s="3" t="str">
        <f t="shared" si="2"/>
        <v>Occasional meal</v>
      </c>
      <c r="C38" s="3" t="str">
        <f t="shared" si="2"/>
        <v>Daily meal</v>
      </c>
      <c r="D38" s="7"/>
      <c r="E38" s="7"/>
      <c r="F38" s="7"/>
      <c r="G38" s="7"/>
      <c r="H38" s="7"/>
      <c r="I38" s="7"/>
      <c r="J38" s="7"/>
    </row>
    <row r="39" spans="2:10" x14ac:dyDescent="0.3">
      <c r="B39" s="3" t="str">
        <f t="shared" si="2"/>
        <v>Low price</v>
      </c>
      <c r="C39" s="3" t="str">
        <f t="shared" si="2"/>
        <v>High price</v>
      </c>
      <c r="D39" s="7"/>
      <c r="E39" s="7"/>
      <c r="F39" s="7"/>
      <c r="G39" s="7"/>
      <c r="H39" s="7"/>
      <c r="I39" s="7"/>
      <c r="J39" s="7"/>
    </row>
    <row r="40" spans="2:10" x14ac:dyDescent="0.3">
      <c r="B40" s="3" t="str">
        <f t="shared" si="2"/>
        <v>Low total perceived value</v>
      </c>
      <c r="C40" s="3" t="str">
        <f t="shared" si="2"/>
        <v>High total perceived value</v>
      </c>
      <c r="D40" s="7"/>
      <c r="E40" s="7"/>
      <c r="F40" s="7"/>
      <c r="G40" s="7"/>
      <c r="H40" s="7"/>
      <c r="I40" s="7"/>
      <c r="J40" s="7"/>
    </row>
    <row r="42" spans="2:10" x14ac:dyDescent="0.3">
      <c r="B42" s="4" t="str">
        <f>B32</f>
        <v xml:space="preserve">persona </v>
      </c>
      <c r="C42" s="4">
        <f>C32+1</f>
        <v>5</v>
      </c>
    </row>
    <row r="43" spans="2:10" x14ac:dyDescent="0.3">
      <c r="B43" s="3">
        <v>1</v>
      </c>
      <c r="C43" s="3">
        <v>5</v>
      </c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</row>
    <row r="44" spans="2:10" x14ac:dyDescent="0.3">
      <c r="B44" s="3" t="str">
        <f t="shared" ref="B44:C50" si="3">B34</f>
        <v>Limited menu</v>
      </c>
      <c r="C44" s="3" t="str">
        <f t="shared" si="3"/>
        <v>Menu with wide variety of combinations</v>
      </c>
      <c r="D44" s="7"/>
      <c r="E44" s="7"/>
      <c r="F44" s="7"/>
      <c r="G44" s="7"/>
      <c r="H44" s="7"/>
      <c r="I44" s="7"/>
      <c r="J44" s="7"/>
    </row>
    <row r="45" spans="2:10" x14ac:dyDescent="0.3">
      <c r="B45" s="3" t="str">
        <f t="shared" si="3"/>
        <v>Few points of sale</v>
      </c>
      <c r="C45" s="3" t="str">
        <f t="shared" si="3"/>
        <v>Many outlets</v>
      </c>
      <c r="D45" s="7"/>
      <c r="E45" s="7"/>
      <c r="F45" s="7"/>
      <c r="G45" s="7"/>
      <c r="H45" s="7"/>
      <c r="I45" s="7"/>
      <c r="J45" s="7"/>
    </row>
    <row r="46" spans="2:10" x14ac:dyDescent="0.3">
      <c r="B46" s="3" t="str">
        <f t="shared" si="3"/>
        <v>Unhealthy food</v>
      </c>
      <c r="C46" s="3" t="str">
        <f t="shared" si="3"/>
        <v>Very healthy food</v>
      </c>
      <c r="D46" s="7"/>
      <c r="E46" s="7"/>
      <c r="F46" s="7"/>
      <c r="G46" s="7"/>
      <c r="H46" s="7"/>
      <c r="I46" s="7"/>
      <c r="J46" s="7"/>
    </row>
    <row r="47" spans="2:10" x14ac:dyDescent="0.3">
      <c r="B47" s="3" t="str">
        <f t="shared" si="3"/>
        <v>Conventional food</v>
      </c>
      <c r="C47" s="3" t="str">
        <f t="shared" si="3"/>
        <v>Very entertaining/fun food</v>
      </c>
      <c r="D47" s="7"/>
      <c r="E47" s="7"/>
      <c r="F47" s="7"/>
      <c r="G47" s="7"/>
      <c r="H47" s="7"/>
      <c r="I47" s="7"/>
      <c r="J47" s="7"/>
    </row>
    <row r="48" spans="2:10" x14ac:dyDescent="0.3">
      <c r="B48" s="3" t="str">
        <f t="shared" si="3"/>
        <v>Occasional meal</v>
      </c>
      <c r="C48" s="3" t="str">
        <f t="shared" si="3"/>
        <v>Daily meal</v>
      </c>
      <c r="D48" s="7"/>
      <c r="E48" s="7"/>
      <c r="F48" s="7"/>
      <c r="G48" s="7"/>
      <c r="H48" s="7"/>
      <c r="I48" s="7"/>
      <c r="J48" s="7"/>
    </row>
    <row r="49" spans="2:10" x14ac:dyDescent="0.3">
      <c r="B49" s="3" t="str">
        <f t="shared" si="3"/>
        <v>Low price</v>
      </c>
      <c r="C49" s="3" t="str">
        <f t="shared" si="3"/>
        <v>High price</v>
      </c>
      <c r="D49" s="7"/>
      <c r="E49" s="7"/>
      <c r="F49" s="7"/>
      <c r="G49" s="7"/>
      <c r="H49" s="7"/>
      <c r="I49" s="7"/>
      <c r="J49" s="7"/>
    </row>
    <row r="50" spans="2:10" x14ac:dyDescent="0.3">
      <c r="B50" s="3" t="str">
        <f t="shared" si="3"/>
        <v>Low total perceived value</v>
      </c>
      <c r="C50" s="3" t="str">
        <f t="shared" si="3"/>
        <v>High total perceived value</v>
      </c>
      <c r="D50" s="7"/>
      <c r="E50" s="7"/>
      <c r="F50" s="7"/>
      <c r="G50" s="7"/>
      <c r="H50" s="7"/>
      <c r="I50" s="7"/>
      <c r="J50" s="7"/>
    </row>
    <row r="52" spans="2:10" x14ac:dyDescent="0.3">
      <c r="B52" s="4" t="str">
        <f>B42</f>
        <v xml:space="preserve">persona </v>
      </c>
      <c r="C52" s="4">
        <f>C42+1</f>
        <v>6</v>
      </c>
    </row>
    <row r="53" spans="2:10" x14ac:dyDescent="0.3">
      <c r="B53" s="3">
        <v>1</v>
      </c>
      <c r="C53" s="3">
        <v>5</v>
      </c>
      <c r="D53" s="2" t="s">
        <v>0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5</v>
      </c>
      <c r="J53" s="2" t="s">
        <v>6</v>
      </c>
    </row>
    <row r="54" spans="2:10" x14ac:dyDescent="0.3">
      <c r="B54" s="3" t="str">
        <f t="shared" ref="B54:C60" si="4">B44</f>
        <v>Limited menu</v>
      </c>
      <c r="C54" s="3" t="str">
        <f t="shared" si="4"/>
        <v>Menu with wide variety of combinations</v>
      </c>
      <c r="D54" s="7"/>
      <c r="E54" s="7"/>
      <c r="F54" s="7"/>
      <c r="G54" s="7"/>
      <c r="H54" s="7"/>
      <c r="I54" s="7"/>
      <c r="J54" s="7"/>
    </row>
    <row r="55" spans="2:10" x14ac:dyDescent="0.3">
      <c r="B55" s="3" t="str">
        <f t="shared" si="4"/>
        <v>Few points of sale</v>
      </c>
      <c r="C55" s="3" t="str">
        <f t="shared" si="4"/>
        <v>Many outlets</v>
      </c>
      <c r="D55" s="7"/>
      <c r="E55" s="7"/>
      <c r="F55" s="7"/>
      <c r="G55" s="7"/>
      <c r="H55" s="7"/>
      <c r="I55" s="7"/>
      <c r="J55" s="7"/>
    </row>
    <row r="56" spans="2:10" x14ac:dyDescent="0.3">
      <c r="B56" s="3" t="str">
        <f t="shared" si="4"/>
        <v>Unhealthy food</v>
      </c>
      <c r="C56" s="3" t="str">
        <f t="shared" si="4"/>
        <v>Very healthy food</v>
      </c>
      <c r="D56" s="7"/>
      <c r="E56" s="7"/>
      <c r="F56" s="7"/>
      <c r="G56" s="7"/>
      <c r="H56" s="7"/>
      <c r="I56" s="7"/>
      <c r="J56" s="7"/>
    </row>
    <row r="57" spans="2:10" x14ac:dyDescent="0.3">
      <c r="B57" s="3" t="str">
        <f t="shared" si="4"/>
        <v>Conventional food</v>
      </c>
      <c r="C57" s="3" t="str">
        <f t="shared" si="4"/>
        <v>Very entertaining/fun food</v>
      </c>
      <c r="D57" s="7"/>
      <c r="E57" s="7"/>
      <c r="F57" s="7"/>
      <c r="G57" s="7"/>
      <c r="H57" s="7"/>
      <c r="I57" s="7"/>
      <c r="J57" s="7"/>
    </row>
    <row r="58" spans="2:10" x14ac:dyDescent="0.3">
      <c r="B58" s="3" t="str">
        <f t="shared" si="4"/>
        <v>Occasional meal</v>
      </c>
      <c r="C58" s="3" t="str">
        <f t="shared" si="4"/>
        <v>Daily meal</v>
      </c>
      <c r="D58" s="7"/>
      <c r="E58" s="7"/>
      <c r="F58" s="7"/>
      <c r="G58" s="7"/>
      <c r="H58" s="7"/>
      <c r="I58" s="7"/>
      <c r="J58" s="7"/>
    </row>
    <row r="59" spans="2:10" x14ac:dyDescent="0.3">
      <c r="B59" s="3" t="str">
        <f t="shared" si="4"/>
        <v>Low price</v>
      </c>
      <c r="C59" s="3" t="str">
        <f t="shared" si="4"/>
        <v>High price</v>
      </c>
      <c r="D59" s="7"/>
      <c r="E59" s="7"/>
      <c r="F59" s="7"/>
      <c r="G59" s="7"/>
      <c r="H59" s="7"/>
      <c r="I59" s="7"/>
      <c r="J59" s="7"/>
    </row>
    <row r="60" spans="2:10" x14ac:dyDescent="0.3">
      <c r="B60" s="3" t="str">
        <f t="shared" si="4"/>
        <v>Low total perceived value</v>
      </c>
      <c r="C60" s="3" t="str">
        <f t="shared" si="4"/>
        <v>High total perceived value</v>
      </c>
      <c r="D60" s="7"/>
      <c r="E60" s="7"/>
      <c r="F60" s="7"/>
      <c r="G60" s="7"/>
      <c r="H60" s="7"/>
      <c r="I60" s="7"/>
      <c r="J60" s="7"/>
    </row>
    <row r="62" spans="2:10" x14ac:dyDescent="0.3">
      <c r="B62" s="4" t="str">
        <f>B52</f>
        <v xml:space="preserve">persona </v>
      </c>
      <c r="C62" s="4" t="s">
        <v>31</v>
      </c>
      <c r="D62" s="9" t="s">
        <v>32</v>
      </c>
    </row>
    <row r="63" spans="2:10" x14ac:dyDescent="0.3">
      <c r="B63" s="3">
        <v>1</v>
      </c>
      <c r="C63" s="3">
        <v>5</v>
      </c>
      <c r="D63" s="2" t="s">
        <v>0</v>
      </c>
      <c r="E63" s="2" t="s">
        <v>1</v>
      </c>
      <c r="F63" s="2" t="s">
        <v>2</v>
      </c>
      <c r="G63" s="2" t="s">
        <v>3</v>
      </c>
      <c r="H63" s="2" t="s">
        <v>4</v>
      </c>
      <c r="I63" s="2" t="s">
        <v>5</v>
      </c>
      <c r="J63" s="2" t="s">
        <v>6</v>
      </c>
    </row>
    <row r="64" spans="2:10" x14ac:dyDescent="0.3">
      <c r="B64" s="3" t="str">
        <f t="shared" ref="B64:C70" si="5">B54</f>
        <v>Limited menu</v>
      </c>
      <c r="C64" s="3" t="str">
        <f t="shared" si="5"/>
        <v>Menu with wide variety of combinations</v>
      </c>
      <c r="D64" s="8" t="str">
        <f t="shared" ref="D64:J70" si="6">IFERROR(AVERAGE(D4,D14,D24,D34,D44,D54),"")</f>
        <v/>
      </c>
      <c r="E64" s="8" t="str">
        <f t="shared" si="6"/>
        <v/>
      </c>
      <c r="F64" s="8" t="str">
        <f t="shared" si="6"/>
        <v/>
      </c>
      <c r="G64" s="8" t="str">
        <f t="shared" si="6"/>
        <v/>
      </c>
      <c r="H64" s="8" t="str">
        <f t="shared" si="6"/>
        <v/>
      </c>
      <c r="I64" s="8" t="str">
        <f t="shared" si="6"/>
        <v/>
      </c>
      <c r="J64" s="8" t="str">
        <f t="shared" si="6"/>
        <v/>
      </c>
    </row>
    <row r="65" spans="2:10" x14ac:dyDescent="0.3">
      <c r="B65" s="3" t="str">
        <f t="shared" si="5"/>
        <v>Few points of sale</v>
      </c>
      <c r="C65" s="3" t="str">
        <f t="shared" si="5"/>
        <v>Many outlets</v>
      </c>
      <c r="D65" s="8" t="str">
        <f t="shared" si="6"/>
        <v/>
      </c>
      <c r="E65" s="8" t="str">
        <f t="shared" si="6"/>
        <v/>
      </c>
      <c r="F65" s="8" t="str">
        <f t="shared" si="6"/>
        <v/>
      </c>
      <c r="G65" s="8" t="str">
        <f t="shared" si="6"/>
        <v/>
      </c>
      <c r="H65" s="8" t="str">
        <f t="shared" si="6"/>
        <v/>
      </c>
      <c r="I65" s="8" t="str">
        <f t="shared" si="6"/>
        <v/>
      </c>
      <c r="J65" s="8" t="str">
        <f t="shared" si="6"/>
        <v/>
      </c>
    </row>
    <row r="66" spans="2:10" x14ac:dyDescent="0.3">
      <c r="B66" s="3" t="str">
        <f t="shared" si="5"/>
        <v>Unhealthy food</v>
      </c>
      <c r="C66" s="3" t="str">
        <f t="shared" si="5"/>
        <v>Very healthy food</v>
      </c>
      <c r="D66" s="8" t="str">
        <f t="shared" si="6"/>
        <v/>
      </c>
      <c r="E66" s="8" t="str">
        <f t="shared" si="6"/>
        <v/>
      </c>
      <c r="F66" s="8" t="str">
        <f t="shared" si="6"/>
        <v/>
      </c>
      <c r="G66" s="8" t="str">
        <f t="shared" si="6"/>
        <v/>
      </c>
      <c r="H66" s="8" t="str">
        <f t="shared" si="6"/>
        <v/>
      </c>
      <c r="I66" s="8" t="str">
        <f t="shared" si="6"/>
        <v/>
      </c>
      <c r="J66" s="8" t="str">
        <f t="shared" si="6"/>
        <v/>
      </c>
    </row>
    <row r="67" spans="2:10" x14ac:dyDescent="0.3">
      <c r="B67" s="3" t="str">
        <f t="shared" si="5"/>
        <v>Conventional food</v>
      </c>
      <c r="C67" s="3" t="str">
        <f t="shared" si="5"/>
        <v>Very entertaining/fun food</v>
      </c>
      <c r="D67" s="8" t="str">
        <f t="shared" si="6"/>
        <v/>
      </c>
      <c r="E67" s="8" t="str">
        <f t="shared" si="6"/>
        <v/>
      </c>
      <c r="F67" s="8" t="str">
        <f t="shared" si="6"/>
        <v/>
      </c>
      <c r="G67" s="8" t="str">
        <f t="shared" si="6"/>
        <v/>
      </c>
      <c r="H67" s="8" t="str">
        <f t="shared" si="6"/>
        <v/>
      </c>
      <c r="I67" s="8" t="str">
        <f t="shared" si="6"/>
        <v/>
      </c>
      <c r="J67" s="8" t="str">
        <f t="shared" si="6"/>
        <v/>
      </c>
    </row>
    <row r="68" spans="2:10" x14ac:dyDescent="0.3">
      <c r="B68" s="3" t="str">
        <f t="shared" si="5"/>
        <v>Occasional meal</v>
      </c>
      <c r="C68" s="3" t="str">
        <f t="shared" si="5"/>
        <v>Daily meal</v>
      </c>
      <c r="D68" s="8" t="str">
        <f t="shared" si="6"/>
        <v/>
      </c>
      <c r="E68" s="8" t="str">
        <f t="shared" si="6"/>
        <v/>
      </c>
      <c r="F68" s="8" t="str">
        <f t="shared" si="6"/>
        <v/>
      </c>
      <c r="G68" s="8" t="str">
        <f t="shared" si="6"/>
        <v/>
      </c>
      <c r="H68" s="8" t="str">
        <f t="shared" si="6"/>
        <v/>
      </c>
      <c r="I68" s="8" t="str">
        <f t="shared" si="6"/>
        <v/>
      </c>
      <c r="J68" s="8" t="str">
        <f t="shared" si="6"/>
        <v/>
      </c>
    </row>
    <row r="69" spans="2:10" x14ac:dyDescent="0.3">
      <c r="B69" s="3" t="str">
        <f t="shared" si="5"/>
        <v>Low price</v>
      </c>
      <c r="C69" s="3" t="str">
        <f t="shared" si="5"/>
        <v>High price</v>
      </c>
      <c r="D69" s="8" t="str">
        <f t="shared" si="6"/>
        <v/>
      </c>
      <c r="E69" s="8" t="str">
        <f t="shared" si="6"/>
        <v/>
      </c>
      <c r="F69" s="8" t="str">
        <f t="shared" si="6"/>
        <v/>
      </c>
      <c r="G69" s="8" t="str">
        <f t="shared" si="6"/>
        <v/>
      </c>
      <c r="H69" s="8" t="str">
        <f t="shared" si="6"/>
        <v/>
      </c>
      <c r="I69" s="8" t="str">
        <f t="shared" si="6"/>
        <v/>
      </c>
      <c r="J69" s="8" t="str">
        <f t="shared" si="6"/>
        <v/>
      </c>
    </row>
    <row r="70" spans="2:10" x14ac:dyDescent="0.3">
      <c r="B70" s="3" t="str">
        <f t="shared" si="5"/>
        <v>Low total perceived value</v>
      </c>
      <c r="C70" s="3" t="str">
        <f t="shared" si="5"/>
        <v>High total perceived value</v>
      </c>
      <c r="D70" s="8" t="str">
        <f t="shared" si="6"/>
        <v/>
      </c>
      <c r="E70" s="8" t="str">
        <f t="shared" si="6"/>
        <v/>
      </c>
      <c r="F70" s="8" t="str">
        <f t="shared" si="6"/>
        <v/>
      </c>
      <c r="G70" s="8" t="str">
        <f t="shared" si="6"/>
        <v/>
      </c>
      <c r="H70" s="8" t="str">
        <f t="shared" si="6"/>
        <v/>
      </c>
      <c r="I70" s="8" t="str">
        <f t="shared" si="6"/>
        <v/>
      </c>
      <c r="J70" s="8" t="str">
        <f t="shared" si="6"/>
        <v/>
      </c>
    </row>
    <row r="71" spans="2:10" x14ac:dyDescent="0.3">
      <c r="D71" s="9" t="s">
        <v>33</v>
      </c>
    </row>
  </sheetData>
  <dataValidations count="1">
    <dataValidation type="whole" showErrorMessage="1" errorTitle="Score from 1 to 5" error="Enter a whole number from 1 (left description) to 5 (right description)." sqref="D4:J10 D14:J20 D24:J30 D34:J40 D44:J50 D54:J60" xr:uid="{00000000-0002-0000-0000-000000000000}">
      <formula1>1</formula1>
      <formula2>5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A10" sqref="A10"/>
    </sheetView>
  </sheetViews>
  <sheetFormatPr baseColWidth="10" defaultColWidth="8.88671875" defaultRowHeight="14.4" x14ac:dyDescent="0.3"/>
  <cols>
    <col min="1" max="1" width="24.109375" bestFit="1" customWidth="1"/>
  </cols>
  <sheetData>
    <row r="1" spans="1:8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7</v>
      </c>
      <c r="B2" s="3" t="str">
        <f>DATA!D64</f>
        <v/>
      </c>
      <c r="C2" s="3" t="str">
        <f>DATA!E64</f>
        <v/>
      </c>
      <c r="D2" s="3" t="str">
        <f>DATA!F64</f>
        <v/>
      </c>
      <c r="E2" s="3" t="str">
        <f>DATA!G64</f>
        <v/>
      </c>
      <c r="F2" s="3" t="str">
        <f>DATA!H64</f>
        <v/>
      </c>
      <c r="G2" s="3" t="str">
        <f>DATA!I64</f>
        <v/>
      </c>
      <c r="H2" s="3" t="str">
        <f>DATA!J64</f>
        <v/>
      </c>
    </row>
    <row r="3" spans="1:8" x14ac:dyDescent="0.3">
      <c r="A3" s="3" t="s">
        <v>8</v>
      </c>
      <c r="B3" s="3" t="str">
        <f>DATA!D65</f>
        <v/>
      </c>
      <c r="C3" s="3" t="str">
        <f>DATA!E65</f>
        <v/>
      </c>
      <c r="D3" s="3" t="str">
        <f>DATA!F65</f>
        <v/>
      </c>
      <c r="E3" s="3" t="str">
        <f>DATA!G65</f>
        <v/>
      </c>
      <c r="F3" s="3" t="str">
        <f>DATA!H65</f>
        <v/>
      </c>
      <c r="G3" s="3" t="str">
        <f>DATA!I65</f>
        <v/>
      </c>
      <c r="H3" s="3" t="str">
        <f>DATA!J65</f>
        <v/>
      </c>
    </row>
    <row r="4" spans="1:8" x14ac:dyDescent="0.3">
      <c r="A4" s="3" t="s">
        <v>9</v>
      </c>
      <c r="B4" s="3" t="str">
        <f>DATA!D66</f>
        <v/>
      </c>
      <c r="C4" s="3" t="str">
        <f>DATA!E66</f>
        <v/>
      </c>
      <c r="D4" s="3" t="str">
        <f>DATA!F66</f>
        <v/>
      </c>
      <c r="E4" s="3" t="str">
        <f>DATA!G66</f>
        <v/>
      </c>
      <c r="F4" s="3" t="str">
        <f>DATA!H66</f>
        <v/>
      </c>
      <c r="G4" s="3" t="str">
        <f>DATA!I66</f>
        <v/>
      </c>
      <c r="H4" s="3" t="str">
        <f>DATA!J66</f>
        <v/>
      </c>
    </row>
    <row r="5" spans="1:8" x14ac:dyDescent="0.3">
      <c r="A5" s="3" t="s">
        <v>10</v>
      </c>
      <c r="B5" s="3" t="str">
        <f>DATA!D67</f>
        <v/>
      </c>
      <c r="C5" s="3" t="str">
        <f>DATA!E67</f>
        <v/>
      </c>
      <c r="D5" s="3" t="str">
        <f>DATA!F67</f>
        <v/>
      </c>
      <c r="E5" s="3" t="str">
        <f>DATA!G67</f>
        <v/>
      </c>
      <c r="F5" s="3" t="str">
        <f>DATA!H67</f>
        <v/>
      </c>
      <c r="G5" s="3" t="str">
        <f>DATA!I67</f>
        <v/>
      </c>
      <c r="H5" s="3" t="str">
        <f>DATA!J67</f>
        <v/>
      </c>
    </row>
    <row r="6" spans="1:8" x14ac:dyDescent="0.3">
      <c r="A6" s="3" t="s">
        <v>11</v>
      </c>
      <c r="B6" s="3" t="str">
        <f>DATA!D68</f>
        <v/>
      </c>
      <c r="C6" s="3" t="str">
        <f>DATA!E68</f>
        <v/>
      </c>
      <c r="D6" s="3" t="str">
        <f>DATA!F68</f>
        <v/>
      </c>
      <c r="E6" s="3" t="str">
        <f>DATA!G68</f>
        <v/>
      </c>
      <c r="F6" s="3" t="str">
        <f>DATA!H68</f>
        <v/>
      </c>
      <c r="G6" s="3" t="str">
        <f>DATA!I68</f>
        <v/>
      </c>
      <c r="H6" s="3" t="str">
        <f>DATA!J68</f>
        <v/>
      </c>
    </row>
    <row r="7" spans="1:8" x14ac:dyDescent="0.3">
      <c r="A7" s="3" t="s">
        <v>12</v>
      </c>
      <c r="B7" s="3" t="str">
        <f>DATA!D69</f>
        <v/>
      </c>
      <c r="C7" s="3" t="str">
        <f>DATA!E69</f>
        <v/>
      </c>
      <c r="D7" s="3" t="str">
        <f>DATA!F69</f>
        <v/>
      </c>
      <c r="E7" s="3" t="str">
        <f>DATA!G69</f>
        <v/>
      </c>
      <c r="F7" s="3" t="str">
        <f>DATA!H69</f>
        <v/>
      </c>
      <c r="G7" s="3" t="str">
        <f>DATA!I69</f>
        <v/>
      </c>
      <c r="H7" s="3" t="str">
        <f>DATA!J69</f>
        <v/>
      </c>
    </row>
    <row r="8" spans="1:8" x14ac:dyDescent="0.3">
      <c r="A8" s="3" t="s">
        <v>13</v>
      </c>
      <c r="B8" s="3" t="str">
        <f>DATA!D70</f>
        <v/>
      </c>
      <c r="C8" s="3" t="str">
        <f>DATA!E70</f>
        <v/>
      </c>
      <c r="D8" s="3" t="str">
        <f>DATA!F70</f>
        <v/>
      </c>
      <c r="E8" s="3" t="str">
        <f>DATA!G70</f>
        <v/>
      </c>
      <c r="F8" s="3" t="str">
        <f>DATA!H70</f>
        <v/>
      </c>
      <c r="G8" s="3" t="str">
        <f>DATA!I70</f>
        <v/>
      </c>
      <c r="H8" s="3" t="str">
        <f>DATA!J70</f>
        <v/>
      </c>
    </row>
    <row r="10" spans="1:8" x14ac:dyDescent="0.3">
      <c r="A10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data to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César Alfonso Moreno Pascual</cp:lastModifiedBy>
  <dcterms:created xsi:type="dcterms:W3CDTF">2023-05-10T09:19:11Z</dcterms:created>
  <dcterms:modified xsi:type="dcterms:W3CDTF">2026-09-11T10:48:52Z</dcterms:modified>
</cp:coreProperties>
</file>